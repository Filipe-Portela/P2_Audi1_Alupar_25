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erialidade" sheetId="1" state="visible" r:id="rId3"/>
    <sheet name="Conciliação" sheetId="2" state="visible" r:id="rId4"/>
    <sheet name="Amostragem" sheetId="3" state="visible" r:id="rId5"/>
    <sheet name="Exceções" sheetId="4" state="visible" r:id="rId6"/>
  </sheets>
  <definedNames>
    <definedName function="false" hidden="true" localSheetId="3" name="_xlnm._FilterDatabase" vbProcedure="false">Exceções!$A$1:$E$13</definedName>
    <definedName function="false" hidden="true" localSheetId="0" name="_xlnm._FilterDatabase" vbProcedure="false">Materialidade!$A$1:$E$18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<sst xmlns="http://schemas.openxmlformats.org/spreadsheetml/2006/main" count="145" uniqueCount="100">
  <si>
    <t xml:space="preserve">Cálculo</t>
  </si>
  <si>
    <t xml:space="preserve">Base (R$)</t>
  </si>
  <si>
    <t xml:space="preserve">Percentual</t>
  </si>
  <si>
    <t xml:space="preserve">Resultado (R$)</t>
  </si>
  <si>
    <t xml:space="preserve">Justificativa / status</t>
  </si>
  <si>
    <t xml:space="preserve">Materialidade global preliminar - receita líquida consolidada 2025</t>
  </si>
  <si>
    <t xml:space="preserve">0,5% adotado como julgamento didático preliminar; não é percentual imposto pela NBC TA 320 (R1).</t>
  </si>
  <si>
    <t xml:space="preserve">Materialidade para execução</t>
  </si>
  <si>
    <t xml:space="preserve">75% da materialidade global; premissa didática a rever conforme risco e distorções esperadas.</t>
  </si>
  <si>
    <t xml:space="preserve">Materialidade específica - ativo contratual da concessão</t>
  </si>
  <si>
    <t xml:space="preserve">50% da materialidade global; premissa didática para saldo relevante e sensível; não excede a global.</t>
  </si>
  <si>
    <t xml:space="preserve">Limite inicial de acumulação de distorções</t>
  </si>
  <si>
    <t xml:space="preserve">5% da materialidade global como limite operacional inicial; avaliar também fatores qualitativos.</t>
  </si>
  <si>
    <t xml:space="preserve">Saldo consolidado do ativo contratual da concessão - 31/12/2025</t>
  </si>
  <si>
    <t xml:space="preserve">DFP 2025, valores publicados em R$ mil convertidos para R$.</t>
  </si>
  <si>
    <t xml:space="preserve">Saldo comparativo do ativo contratual - 31/12/2024</t>
  </si>
  <si>
    <t xml:space="preserve">DFP 2025, comparativo, valores publicados em R$ mil convertidos para R$.</t>
  </si>
  <si>
    <t xml:space="preserve">Variação nominal do ativo contratual</t>
  </si>
  <si>
    <t xml:space="preserve">2025 menos 2024; não inferir causas sem documentação de suporte.</t>
  </si>
  <si>
    <t xml:space="preserve">Variação percentual do ativo contratual</t>
  </si>
  <si>
    <t xml:space="preserve">Variação nominal dividida pelo saldo comparativo.</t>
  </si>
  <si>
    <t xml:space="preserve">Ativo total consolidado - 31/12/2025</t>
  </si>
  <si>
    <t xml:space="preserve">DFP 2025, demonstrações consolidadas.</t>
  </si>
  <si>
    <t xml:space="preserve">Ativo total consolidado - 31/12/2024</t>
  </si>
  <si>
    <t xml:space="preserve">DFP 2025, comparativo consolidado.</t>
  </si>
  <si>
    <t xml:space="preserve">Variação nominal do ativo total</t>
  </si>
  <si>
    <t xml:space="preserve">2025 menos 2024.</t>
  </si>
  <si>
    <t xml:space="preserve">Variação percentual do ativo total</t>
  </si>
  <si>
    <t xml:space="preserve">Receita líquida consolidada - 2025</t>
  </si>
  <si>
    <t xml:space="preserve">DFP 2025, demonstração do resultado consolidada.</t>
  </si>
  <si>
    <t xml:space="preserve">Receita líquida consolidada - 2024</t>
  </si>
  <si>
    <t xml:space="preserve">Variação nominal da receita líquida</t>
  </si>
  <si>
    <t xml:space="preserve">Variação percentual da receita líquida</t>
  </si>
  <si>
    <t xml:space="preserve">Variação nominal dividida pela receita líquida de 2024.</t>
  </si>
  <si>
    <t xml:space="preserve">Ativo contratual como percentual do ativo total 2025</t>
  </si>
  <si>
    <t xml:space="preserve">Indicador de magnitude da rubrica dentro do ativo consolidado.</t>
  </si>
  <si>
    <t xml:space="preserve">Item</t>
  </si>
  <si>
    <t xml:space="preserve">Valor (R$)</t>
  </si>
  <si>
    <t xml:space="preserve">Natureza / conclusão</t>
  </si>
  <si>
    <t xml:space="preserve">Saldo divulgado DFP 2025 - ativo contratual da concessão</t>
  </si>
  <si>
    <t xml:space="preserve">Saldo real publicado; DFP apresenta R$ 20.440.175 mil.</t>
  </si>
  <si>
    <t xml:space="preserve">Total da base sintética</t>
  </si>
  <si>
    <t xml:space="preserve">Valor calibrado artificialmente no gerador; verificar também pelo script de validação.</t>
  </si>
  <si>
    <t xml:space="preserve">Diferença aritmética</t>
  </si>
  <si>
    <t xml:space="preserve">Saldo divulgado menos total sintético. Diferença zero por construção.</t>
  </si>
  <si>
    <t xml:space="preserve">Conclusão</t>
  </si>
  <si>
    <t xml:space="preserve">Não é conciliação contábil substantiva</t>
  </si>
  <si>
    <t xml:space="preserve">Sem razão auxiliar, cadastro real de contratos, memória de cálculo e documentos de suporte não é possível reconciliar registros reais.</t>
  </si>
  <si>
    <t xml:space="preserve">Valor do ativo contratual / ativo total</t>
  </si>
  <si>
    <t xml:space="preserve">Indicador de magnitude baseado em saldos publicados.</t>
  </si>
  <si>
    <t xml:space="preserve">Parâmetro</t>
  </si>
  <si>
    <t xml:space="preserve">Definição</t>
  </si>
  <si>
    <t xml:space="preserve">Resultado / observação</t>
  </si>
  <si>
    <t xml:space="preserve">População</t>
  </si>
  <si>
    <t xml:space="preserve">Base sintética completa</t>
  </si>
  <si>
    <t xml:space="preserve">500.000 registros sintéticos</t>
  </si>
  <si>
    <t xml:space="preserve">Unidade amostral</t>
  </si>
  <si>
    <t xml:space="preserve">Uma linha analítica sintética</t>
  </si>
  <si>
    <t xml:space="preserve">Não equivale a contrato real nem a evidência contábil</t>
  </si>
  <si>
    <t xml:space="preserve">Amostra sistemática</t>
  </si>
  <si>
    <t xml:space="preserve">100 linhas; intervalo k = N/n = 5.000; início zero-based = 2.026</t>
  </si>
  <si>
    <t xml:space="preserve">Reprodutível no script; inclui os índices 2.026 + j×5.000, j=0…99</t>
  </si>
  <si>
    <t xml:space="preserve">Amostra dirigida</t>
  </si>
  <si>
    <t xml:space="preserve">25 maiores valores absolutos</t>
  </si>
  <si>
    <t xml:space="preserve">Não probabilística; não projetar erro estatisticamente</t>
  </si>
  <si>
    <t xml:space="preserve">Risco amostral</t>
  </si>
  <si>
    <t xml:space="preserve">Não estimado</t>
  </si>
  <si>
    <t xml:space="preserve">A população é sintética e a seleção não foi desenhada para inferência sobre registros reais</t>
  </si>
  <si>
    <t xml:space="preserve">Exceções inseridas</t>
  </si>
  <si>
    <t xml:space="preserve">Exceções artificiais documentadas na aba Exceções</t>
  </si>
  <si>
    <t xml:space="preserve">Exceções detectadas</t>
  </si>
  <si>
    <t xml:space="preserve">Detecção independente por regras codificadas; conferir resultados com analisar_base.py</t>
  </si>
  <si>
    <t xml:space="preserve">Taxa de detecção</t>
  </si>
  <si>
    <t xml:space="preserve">Exceções detectadas / inseridas</t>
  </si>
  <si>
    <t xml:space="preserve">Projeção de distorções</t>
  </si>
  <si>
    <t xml:space="preserve">Não realizada</t>
  </si>
  <si>
    <t xml:space="preserve">Não há desenho probabilístico válido sobre população contábil real; nenhuma projeção para ALUPAR</t>
  </si>
  <si>
    <t xml:space="preserve">registro_id</t>
  </si>
  <si>
    <t xml:space="preserve">tipo_excecao_inserida</t>
  </si>
  <si>
    <t xml:space="preserve">regra_detectada</t>
  </si>
  <si>
    <t xml:space="preserve">inserida</t>
  </si>
  <si>
    <t xml:space="preserve">resultado_teste</t>
  </si>
  <si>
    <t xml:space="preserve">SYN-000018</t>
  </si>
  <si>
    <t xml:space="preserve">E02_documento_posterior</t>
  </si>
  <si>
    <t xml:space="preserve">SIM</t>
  </si>
  <si>
    <t xml:space="preserve">DETECTADA</t>
  </si>
  <si>
    <t xml:space="preserve">SYN-000110</t>
  </si>
  <si>
    <t xml:space="preserve">SYN-002027</t>
  </si>
  <si>
    <t xml:space="preserve">E03_componente_inusual</t>
  </si>
  <si>
    <t xml:space="preserve">SYN-009877</t>
  </si>
  <si>
    <t xml:space="preserve">E01_documento_ausente</t>
  </si>
  <si>
    <t xml:space="preserve">SYN-045679</t>
  </si>
  <si>
    <t xml:space="preserve">SYN-089013</t>
  </si>
  <si>
    <t xml:space="preserve">SYN-123457</t>
  </si>
  <si>
    <t xml:space="preserve">SYN-234568</t>
  </si>
  <si>
    <t xml:space="preserve">E04_status_pendente</t>
  </si>
  <si>
    <t xml:space="preserve">SYN-345679</t>
  </si>
  <si>
    <t xml:space="preserve">SYN-400002</t>
  </si>
  <si>
    <t xml:space="preserve">SYN-450322</t>
  </si>
  <si>
    <t xml:space="preserve">SYN-500000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</si>
</sst>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;\-"/>
    <numFmt numFmtId="166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4062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40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7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7.75" hidden="false" customHeight="true" outlineLevel="0" collapsed="false">
      <c r="A2" s="3" t="s">
        <v>5</v>
      </c>
      <c r="B2" s="4" t="n">
        <v>4397883000</v>
      </c>
      <c r="C2" s="5" t="n">
        <v>0.005</v>
      </c>
      <c r="D2" s="4" t="n">
        <f aca="false">B2*C2</f>
        <v>21989415</v>
      </c>
      <c r="E2" s="3" t="s">
        <v>6</v>
      </c>
    </row>
    <row r="3" customFormat="false" ht="27.75" hidden="false" customHeight="true" outlineLevel="0" collapsed="false">
      <c r="A3" s="3" t="s">
        <v>7</v>
      </c>
      <c r="B3" s="4" t="n">
        <f aca="false">D2</f>
        <v>21989415</v>
      </c>
      <c r="C3" s="5" t="n">
        <v>0.75</v>
      </c>
      <c r="D3" s="4" t="n">
        <f aca="false">B3*C3</f>
        <v>16492061.25</v>
      </c>
      <c r="E3" s="3" t="s">
        <v>8</v>
      </c>
    </row>
    <row r="4" customFormat="false" ht="27.75" hidden="false" customHeight="true" outlineLevel="0" collapsed="false">
      <c r="A4" s="3" t="s">
        <v>9</v>
      </c>
      <c r="B4" s="4" t="n">
        <f aca="false">D2</f>
        <v>21989415</v>
      </c>
      <c r="C4" s="5" t="n">
        <v>0.5</v>
      </c>
      <c r="D4" s="4" t="n">
        <f aca="false">B4*C4</f>
        <v>10994707.5</v>
      </c>
      <c r="E4" s="3" t="s">
        <v>10</v>
      </c>
    </row>
    <row r="5" customFormat="false" ht="27.75" hidden="false" customHeight="true" outlineLevel="0" collapsed="false">
      <c r="A5" s="3" t="s">
        <v>11</v>
      </c>
      <c r="B5" s="4" t="n">
        <f aca="false">D2</f>
        <v>21989415</v>
      </c>
      <c r="C5" s="5" t="n">
        <v>0.05</v>
      </c>
      <c r="D5" s="4" t="n">
        <f aca="false">B5*C5</f>
        <v>1099470.75</v>
      </c>
      <c r="E5" s="3" t="s">
        <v>12</v>
      </c>
    </row>
    <row r="6" customFormat="false" ht="15" hidden="false" customHeight="true" outlineLevel="0" collapsed="false">
      <c r="A6" s="3" t="s">
        <v>13</v>
      </c>
      <c r="B6" s="4" t="n">
        <v>20440175000</v>
      </c>
      <c r="C6" s="3"/>
      <c r="D6" s="4" t="n">
        <f aca="false">B6</f>
        <v>20440175000</v>
      </c>
      <c r="E6" s="3" t="s">
        <v>14</v>
      </c>
    </row>
    <row r="7" customFormat="false" ht="15" hidden="false" customHeight="true" outlineLevel="0" collapsed="false">
      <c r="A7" s="3" t="s">
        <v>15</v>
      </c>
      <c r="B7" s="4" t="n">
        <v>19434422000</v>
      </c>
      <c r="C7" s="3"/>
      <c r="D7" s="4" t="n">
        <f aca="false">B7</f>
        <v>19434422000</v>
      </c>
      <c r="E7" s="3" t="s">
        <v>16</v>
      </c>
    </row>
    <row r="8" customFormat="false" ht="15" hidden="false" customHeight="true" outlineLevel="0" collapsed="false">
      <c r="A8" s="3" t="s">
        <v>17</v>
      </c>
      <c r="B8" s="4" t="n">
        <f aca="false">D6-D7</f>
        <v>1005753000</v>
      </c>
      <c r="C8" s="3"/>
      <c r="D8" s="4" t="n">
        <f aca="false">B8</f>
        <v>1005753000</v>
      </c>
      <c r="E8" s="3" t="s">
        <v>18</v>
      </c>
    </row>
    <row r="9" customFormat="false" ht="15" hidden="false" customHeight="true" outlineLevel="0" collapsed="false">
      <c r="A9" s="3" t="s">
        <v>19</v>
      </c>
      <c r="B9" s="4" t="n">
        <f aca="false">B8/B7</f>
        <v>0.0517511145945066</v>
      </c>
      <c r="C9" s="3"/>
      <c r="D9" s="5" t="n">
        <f aca="false">B9</f>
        <v>0.0517511145945066</v>
      </c>
      <c r="E9" s="3" t="s">
        <v>20</v>
      </c>
    </row>
    <row r="10" customFormat="false" ht="15" hidden="false" customHeight="true" outlineLevel="0" collapsed="false">
      <c r="A10" s="3" t="s">
        <v>21</v>
      </c>
      <c r="B10" s="4" t="n">
        <v>32114316000</v>
      </c>
      <c r="C10" s="3"/>
      <c r="D10" s="4" t="n">
        <f aca="false">B10</f>
        <v>32114316000</v>
      </c>
      <c r="E10" s="3" t="s">
        <v>22</v>
      </c>
    </row>
    <row r="11" customFormat="false" ht="15" hidden="false" customHeight="true" outlineLevel="0" collapsed="false">
      <c r="A11" s="3" t="s">
        <v>23</v>
      </c>
      <c r="B11" s="4" t="n">
        <v>30689036000</v>
      </c>
      <c r="C11" s="3"/>
      <c r="D11" s="4" t="n">
        <f aca="false">B11</f>
        <v>30689036000</v>
      </c>
      <c r="E11" s="3" t="s">
        <v>24</v>
      </c>
    </row>
    <row r="12" customFormat="false" ht="15" hidden="false" customHeight="true" outlineLevel="0" collapsed="false">
      <c r="A12" s="3" t="s">
        <v>25</v>
      </c>
      <c r="B12" s="4" t="n">
        <f aca="false">B10-B11</f>
        <v>1425280000</v>
      </c>
      <c r="C12" s="3"/>
      <c r="D12" s="4" t="n">
        <f aca="false">B12</f>
        <v>1425280000</v>
      </c>
      <c r="E12" s="3" t="s">
        <v>26</v>
      </c>
    </row>
    <row r="13" customFormat="false" ht="15" hidden="false" customHeight="true" outlineLevel="0" collapsed="false">
      <c r="A13" s="3" t="s">
        <v>27</v>
      </c>
      <c r="B13" s="4" t="n">
        <f aca="false">B12/B11</f>
        <v>0.0464426448585742</v>
      </c>
      <c r="C13" s="3"/>
      <c r="D13" s="5" t="n">
        <f aca="false">B13</f>
        <v>0.0464426448585742</v>
      </c>
      <c r="E13" s="3" t="s">
        <v>20</v>
      </c>
    </row>
    <row r="14" customFormat="false" ht="15" hidden="false" customHeight="true" outlineLevel="0" collapsed="false">
      <c r="A14" s="3" t="s">
        <v>28</v>
      </c>
      <c r="B14" s="4" t="n">
        <v>4397883000</v>
      </c>
      <c r="C14" s="3"/>
      <c r="D14" s="4" t="n">
        <f aca="false">B14</f>
        <v>4397883000</v>
      </c>
      <c r="E14" s="3" t="s">
        <v>29</v>
      </c>
    </row>
    <row r="15" customFormat="false" ht="15" hidden="false" customHeight="true" outlineLevel="0" collapsed="false">
      <c r="A15" s="3" t="s">
        <v>30</v>
      </c>
      <c r="B15" s="4" t="n">
        <v>4002104000</v>
      </c>
      <c r="C15" s="3"/>
      <c r="D15" s="4" t="n">
        <f aca="false">B15</f>
        <v>4002104000</v>
      </c>
      <c r="E15" s="3" t="s">
        <v>24</v>
      </c>
    </row>
    <row r="16" customFormat="false" ht="15" hidden="false" customHeight="true" outlineLevel="0" collapsed="false">
      <c r="A16" s="3" t="s">
        <v>31</v>
      </c>
      <c r="B16" s="4" t="n">
        <f aca="false">B14-B15</f>
        <v>395779000</v>
      </c>
      <c r="C16" s="3"/>
      <c r="D16" s="4" t="n">
        <f aca="false">B16</f>
        <v>395779000</v>
      </c>
      <c r="E16" s="3" t="s">
        <v>26</v>
      </c>
    </row>
    <row r="17" customFormat="false" ht="15" hidden="false" customHeight="true" outlineLevel="0" collapsed="false">
      <c r="A17" s="3" t="s">
        <v>32</v>
      </c>
      <c r="B17" s="4" t="n">
        <f aca="false">B16/B15</f>
        <v>0.0988927324227456</v>
      </c>
      <c r="C17" s="3"/>
      <c r="D17" s="5" t="n">
        <f aca="false">B17</f>
        <v>0.0988927324227456</v>
      </c>
      <c r="E17" s="3" t="s">
        <v>33</v>
      </c>
    </row>
    <row r="18" customFormat="false" ht="15" hidden="false" customHeight="true" outlineLevel="0" collapsed="false">
      <c r="A18" s="3" t="s">
        <v>34</v>
      </c>
      <c r="B18" s="4" t="n">
        <f aca="false">B6/B10</f>
        <v>0.636481717374893</v>
      </c>
      <c r="C18" s="3"/>
      <c r="D18" s="5" t="n">
        <f aca="false">B18</f>
        <v>0.636481717374893</v>
      </c>
      <c r="E18" s="3" t="s">
        <v>35</v>
      </c>
    </row>
  </sheetData>
  <autoFilter ref="A1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24"/>
    <col collapsed="false" customWidth="true" hidden="false" outlineLevel="0" max="3" min="3" style="1" width="88"/>
  </cols>
  <sheetData>
    <row r="1" customFormat="false" ht="15" hidden="false" customHeight="true" outlineLevel="0" collapsed="false">
      <c r="A1" s="6" t="s">
        <v>36</v>
      </c>
      <c r="B1" s="6" t="s">
        <v>37</v>
      </c>
      <c r="C1" s="6" t="s">
        <v>38</v>
      </c>
    </row>
    <row r="2" customFormat="false" ht="15" hidden="false" customHeight="true" outlineLevel="0" collapsed="false">
      <c r="A2" s="3" t="s">
        <v>39</v>
      </c>
      <c r="B2" s="4" t="n">
        <v>20440175000</v>
      </c>
      <c r="C2" s="3" t="s">
        <v>40</v>
      </c>
    </row>
    <row r="3" customFormat="false" ht="15" hidden="false" customHeight="true" outlineLevel="0" collapsed="false">
      <c r="A3" s="3" t="s">
        <v>41</v>
      </c>
      <c r="B3" s="4" t="n">
        <v>20440175000</v>
      </c>
      <c r="C3" s="3" t="s">
        <v>42</v>
      </c>
    </row>
    <row r="4" customFormat="false" ht="15" hidden="false" customHeight="true" outlineLevel="0" collapsed="false">
      <c r="A4" s="3" t="s">
        <v>43</v>
      </c>
      <c r="B4" s="4" t="n">
        <f aca="false">B2-B3</f>
        <v>0</v>
      </c>
      <c r="C4" s="3" t="s">
        <v>44</v>
      </c>
    </row>
    <row r="5" customFormat="false" ht="27.75" hidden="false" customHeight="true" outlineLevel="0" collapsed="false">
      <c r="A5" s="3" t="s">
        <v>45</v>
      </c>
      <c r="B5" s="4" t="s">
        <v>46</v>
      </c>
      <c r="C5" s="3" t="s">
        <v>47</v>
      </c>
    </row>
    <row r="6" customFormat="false" ht="15" hidden="false" customHeight="true" outlineLevel="0" collapsed="false">
      <c r="A6" s="3" t="s">
        <v>48</v>
      </c>
      <c r="B6" s="5" t="n">
        <f aca="false">B2/32114316000</f>
        <v>0.636481717374893</v>
      </c>
      <c r="C6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5"/>
    <col collapsed="false" customWidth="true" hidden="false" outlineLevel="0" max="3" min="3" style="1" width="88"/>
  </cols>
  <sheetData>
    <row r="1" customFormat="false" ht="15" hidden="false" customHeight="true" outlineLevel="0" collapsed="false">
      <c r="A1" s="6" t="s">
        <v>50</v>
      </c>
      <c r="B1" s="6" t="s">
        <v>51</v>
      </c>
      <c r="C1" s="6" t="s">
        <v>52</v>
      </c>
    </row>
    <row r="2" customFormat="false" ht="15" hidden="false" customHeight="true" outlineLevel="0" collapsed="false">
      <c r="A2" s="3" t="s">
        <v>53</v>
      </c>
      <c r="B2" s="3" t="s">
        <v>54</v>
      </c>
      <c r="C2" s="3" t="s">
        <v>55</v>
      </c>
    </row>
    <row r="3" customFormat="false" ht="15" hidden="false" customHeight="true" outlineLevel="0" collapsed="false">
      <c r="A3" s="3" t="s">
        <v>56</v>
      </c>
      <c r="B3" s="3" t="s">
        <v>57</v>
      </c>
      <c r="C3" s="3" t="s">
        <v>58</v>
      </c>
    </row>
    <row r="4" customFormat="false" ht="15" hidden="false" customHeight="true" outlineLevel="0" collapsed="false">
      <c r="A4" s="3" t="s">
        <v>59</v>
      </c>
      <c r="B4" s="3" t="s">
        <v>60</v>
      </c>
      <c r="C4" s="3" t="s">
        <v>61</v>
      </c>
    </row>
    <row r="5" customFormat="false" ht="15" hidden="false" customHeight="true" outlineLevel="0" collapsed="false">
      <c r="A5" s="3" t="s">
        <v>62</v>
      </c>
      <c r="B5" s="3" t="s">
        <v>63</v>
      </c>
      <c r="C5" s="3" t="s">
        <v>64</v>
      </c>
    </row>
    <row r="6" customFormat="false" ht="15" hidden="false" customHeight="true" outlineLevel="0" collapsed="false">
      <c r="A6" s="3" t="s">
        <v>65</v>
      </c>
      <c r="B6" s="3" t="s">
        <v>66</v>
      </c>
      <c r="C6" s="3" t="s">
        <v>67</v>
      </c>
    </row>
    <row r="7" customFormat="false" ht="15" hidden="false" customHeight="true" outlineLevel="0" collapsed="false">
      <c r="A7" s="3" t="s">
        <v>68</v>
      </c>
      <c r="B7" s="3" t="n">
        <f aca="false">COUNTA(Exceções!A2:A13)</f>
        <v>12</v>
      </c>
      <c r="C7" s="3" t="s">
        <v>69</v>
      </c>
    </row>
    <row r="8" customFormat="false" ht="15" hidden="false" customHeight="true" outlineLevel="0" collapsed="false">
      <c r="A8" s="3" t="s">
        <v>70</v>
      </c>
      <c r="B8" s="3" t="n">
        <f aca="false">COUNTA(Exceções!E2:E13)</f>
        <v>12</v>
      </c>
      <c r="C8" s="3" t="s">
        <v>71</v>
      </c>
    </row>
    <row r="9" customFormat="false" ht="15" hidden="false" customHeight="true" outlineLevel="0" collapsed="false">
      <c r="A9" s="3" t="s">
        <v>72</v>
      </c>
      <c r="B9" s="3" t="s">
        <v>73</v>
      </c>
      <c r="C9" s="5" t="n">
        <f aca="false">IFERROR(B8/B7,0)</f>
        <v>1</v>
      </c>
    </row>
    <row r="10" customFormat="false" ht="15" hidden="false" customHeight="true" outlineLevel="0" collapsed="false">
      <c r="A10" s="3" t="s">
        <v>74</v>
      </c>
      <c r="B10" s="3" t="s">
        <v>75</v>
      </c>
      <c r="C10" s="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32"/>
    <col collapsed="false" customWidth="true" hidden="false" outlineLevel="0" max="4" min="4" style="1" width="14"/>
    <col collapsed="false" customWidth="true" hidden="false" outlineLevel="0" max="5" min="5" style="1" width="24"/>
  </cols>
  <sheetData>
    <row r="1" customFormat="false" ht="15" hidden="false" customHeight="true" outlineLevel="0" collapsed="false">
      <c r="A1" s="6" t="s">
        <v>77</v>
      </c>
      <c r="B1" s="6" t="s">
        <v>78</v>
      </c>
      <c r="C1" s="6" t="s">
        <v>79</v>
      </c>
      <c r="D1" s="6" t="s">
        <v>80</v>
      </c>
      <c r="E1" s="6" t="s">
        <v>81</v>
      </c>
    </row>
    <row r="2" customFormat="false" ht="15" hidden="false" customHeight="true" outlineLevel="0" collapsed="false">
      <c r="A2" s="3" t="s">
        <v>82</v>
      </c>
      <c r="B2" s="3" t="s">
        <v>83</v>
      </c>
      <c r="C2" s="3" t="s">
        <v>83</v>
      </c>
      <c r="D2" s="3" t="s">
        <v>84</v>
      </c>
      <c r="E2" s="3" t="s">
        <v>85</v>
      </c>
    </row>
    <row r="3" customFormat="false" ht="15" hidden="false" customHeight="true" outlineLevel="0" collapsed="false">
      <c r="A3" s="3" t="s">
        <v>86</v>
      </c>
      <c r="B3" s="3" t="s">
        <v>83</v>
      </c>
      <c r="C3" s="3" t="s">
        <v>83</v>
      </c>
      <c r="D3" s="3" t="s">
        <v>84</v>
      </c>
      <c r="E3" s="3" t="s">
        <v>85</v>
      </c>
    </row>
    <row r="4" customFormat="false" ht="15" hidden="false" customHeight="true" outlineLevel="0" collapsed="false">
      <c r="A4" s="3" t="s">
        <v>87</v>
      </c>
      <c r="B4" s="3" t="s">
        <v>88</v>
      </c>
      <c r="C4" s="3" t="s">
        <v>88</v>
      </c>
      <c r="D4" s="3" t="s">
        <v>84</v>
      </c>
      <c r="E4" s="3" t="s">
        <v>85</v>
      </c>
    </row>
    <row r="5" customFormat="false" ht="15" hidden="false" customHeight="true" outlineLevel="0" collapsed="false">
      <c r="A5" s="3" t="s">
        <v>89</v>
      </c>
      <c r="B5" s="3" t="s">
        <v>90</v>
      </c>
      <c r="C5" s="3" t="s">
        <v>90</v>
      </c>
      <c r="D5" s="3" t="s">
        <v>84</v>
      </c>
      <c r="E5" s="3" t="s">
        <v>85</v>
      </c>
    </row>
    <row r="6" customFormat="false" ht="15" hidden="false" customHeight="true" outlineLevel="0" collapsed="false">
      <c r="A6" s="3" t="s">
        <v>91</v>
      </c>
      <c r="B6" s="3" t="s">
        <v>88</v>
      </c>
      <c r="C6" s="3" t="s">
        <v>88</v>
      </c>
      <c r="D6" s="3" t="s">
        <v>84</v>
      </c>
      <c r="E6" s="3" t="s">
        <v>85</v>
      </c>
    </row>
    <row r="7" customFormat="false" ht="15" hidden="false" customHeight="true" outlineLevel="0" collapsed="false">
      <c r="A7" s="3" t="s">
        <v>92</v>
      </c>
      <c r="B7" s="3" t="s">
        <v>90</v>
      </c>
      <c r="C7" s="3" t="s">
        <v>90</v>
      </c>
      <c r="D7" s="3" t="s">
        <v>84</v>
      </c>
      <c r="E7" s="3" t="s">
        <v>85</v>
      </c>
    </row>
    <row r="8" customFormat="false" ht="15" hidden="false" customHeight="true" outlineLevel="0" collapsed="false">
      <c r="A8" s="3" t="s">
        <v>93</v>
      </c>
      <c r="B8" s="3" t="s">
        <v>90</v>
      </c>
      <c r="C8" s="3" t="s">
        <v>90</v>
      </c>
      <c r="D8" s="3" t="s">
        <v>84</v>
      </c>
      <c r="E8" s="3" t="s">
        <v>85</v>
      </c>
    </row>
    <row r="9" customFormat="false" ht="15" hidden="false" customHeight="true" outlineLevel="0" collapsed="false">
      <c r="A9" s="3" t="s">
        <v>94</v>
      </c>
      <c r="B9" s="3" t="s">
        <v>95</v>
      </c>
      <c r="C9" s="3" t="s">
        <v>95</v>
      </c>
      <c r="D9" s="3" t="s">
        <v>84</v>
      </c>
      <c r="E9" s="3" t="s">
        <v>85</v>
      </c>
    </row>
    <row r="10" customFormat="false" ht="15" hidden="false" customHeight="true" outlineLevel="0" collapsed="false">
      <c r="A10" s="3" t="s">
        <v>96</v>
      </c>
      <c r="B10" s="3" t="s">
        <v>88</v>
      </c>
      <c r="C10" s="3" t="s">
        <v>88</v>
      </c>
      <c r="D10" s="3" t="s">
        <v>84</v>
      </c>
      <c r="E10" s="3" t="s">
        <v>85</v>
      </c>
    </row>
    <row r="11" customFormat="false" ht="15" hidden="false" customHeight="true" outlineLevel="0" collapsed="false">
      <c r="A11" s="3" t="s">
        <v>97</v>
      </c>
      <c r="B11" s="3" t="s">
        <v>83</v>
      </c>
      <c r="C11" s="3" t="s">
        <v>83</v>
      </c>
      <c r="D11" s="3" t="s">
        <v>84</v>
      </c>
      <c r="E11" s="3" t="s">
        <v>85</v>
      </c>
    </row>
    <row r="12" customFormat="false" ht="15" hidden="false" customHeight="true" outlineLevel="0" collapsed="false">
      <c r="A12" s="3" t="s">
        <v>98</v>
      </c>
      <c r="B12" s="3" t="s">
        <v>83</v>
      </c>
      <c r="C12" s="3" t="s">
        <v>83</v>
      </c>
      <c r="D12" s="3" t="s">
        <v>84</v>
      </c>
      <c r="E12" s="3" t="s">
        <v>85</v>
      </c>
    </row>
    <row r="13" customFormat="false" ht="15" hidden="false" customHeight="true" outlineLevel="0" collapsed="false">
      <c r="A13" s="3" t="s">
        <v>99</v>
      </c>
      <c r="B13" s="3" t="s">
        <v>95</v>
      </c>
      <c r="C13" s="3" t="s">
        <v>95</v>
      </c>
      <c r="D13" s="3" t="s">
        <v>84</v>
      </c>
      <c r="E13" s="3" t="s">
        <v>85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2026-10-21T22:52:33Z</dcterms:created>
  <dc:creator>openpyxl</dc:creator>
  <dc:description/>
  <dc:language>en-US</dc:language>
  <cp:lastModifiedBy/>
  <dcterms:modified xsi:type="dcterms:W3CDTF">2026-10-21T23:01:36Z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